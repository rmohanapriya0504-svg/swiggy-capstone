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59\EXCELCNV\09657676-ec79-4bbe-879f-c1d99e6cfdd6\"/>
    </mc:Choice>
  </mc:AlternateContent>
  <xr:revisionPtr revIDLastSave="0" documentId="8_{88F7B726-0A23-4ADA-9072-C1CDDB60C92A}" xr6:coauthVersionLast="47" xr6:coauthVersionMax="47" xr10:uidLastSave="{00000000-0000-0000-0000-000000000000}"/>
  <bookViews>
    <workbookView xWindow="-60" yWindow="-60" windowWidth="15480" windowHeight="11640" firstSheet="3" activeTab="3" xr2:uid="{B59AA78A-559B-42AD-B638-7D05564DD0A5}"/>
  </bookViews>
  <sheets>
    <sheet name="pivot table 1" sheetId="3" r:id="rId1"/>
    <sheet name="Cuisine Summary" sheetId="4" r:id="rId2"/>
    <sheet name="Monthly Data" sheetId="1" r:id="rId3"/>
    <sheet name="Cuisine Targets" sheetId="2" r:id="rId4"/>
  </sheets>
  <calcPr calcId="191028"/>
  <pivotCaches>
    <pivotCache cacheId="29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2" i="4"/>
  <c r="E2" i="4"/>
  <c r="E3" i="4"/>
  <c r="E4" i="4"/>
  <c r="E5" i="4"/>
  <c r="E6" i="4"/>
  <c r="E7" i="4"/>
  <c r="C3" i="4"/>
  <c r="C4" i="4"/>
  <c r="C5" i="4"/>
  <c r="C6" i="4"/>
  <c r="C7" i="4"/>
  <c r="C2" i="4"/>
  <c r="B3" i="4"/>
  <c r="B4" i="4"/>
  <c r="B5" i="4"/>
  <c r="B6" i="4"/>
  <c r="B7" i="4"/>
  <c r="B2" i="4"/>
  <c r="D2" i="4"/>
  <c r="D7" i="4"/>
  <c r="D6" i="4"/>
  <c r="D5" i="4"/>
  <c r="D4" i="4"/>
  <c r="D3" i="4"/>
</calcChain>
</file>

<file path=xl/sharedStrings.xml><?xml version="1.0" encoding="utf-8"?>
<sst xmlns="http://schemas.openxmlformats.org/spreadsheetml/2006/main" count="110" uniqueCount="27">
  <si>
    <t>cuisine</t>
  </si>
  <si>
    <t>Sum of total_revenue</t>
  </si>
  <si>
    <t>Sum of order_count</t>
  </si>
  <si>
    <t>Chinese</t>
  </si>
  <si>
    <t>Desserts</t>
  </si>
  <si>
    <t>Fast Food</t>
  </si>
  <si>
    <t>Italian</t>
  </si>
  <si>
    <t>North Indian</t>
  </si>
  <si>
    <t>South Indian</t>
  </si>
  <si>
    <t>Grand Total</t>
  </si>
  <si>
    <t>total_revenue</t>
  </si>
  <si>
    <t>target_revenue_inr</t>
  </si>
  <si>
    <t>variance</t>
  </si>
  <si>
    <t>percentage_variance</t>
  </si>
  <si>
    <t>target_status</t>
  </si>
  <si>
    <t>Matches Part A SQL total?</t>
  </si>
  <si>
    <t>YES</t>
  </si>
  <si>
    <t>month</t>
  </si>
  <si>
    <t>order_count</t>
  </si>
  <si>
    <t>avg_revenue</t>
  </si>
  <si>
    <t>2026-01</t>
  </si>
  <si>
    <t>2026-02</t>
  </si>
  <si>
    <t>2026-03</t>
  </si>
  <si>
    <t>2026-04</t>
  </si>
  <si>
    <t>2026-05</t>
  </si>
  <si>
    <t>2026-06</t>
  </si>
  <si>
    <t>target_revenue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</si>
</sst>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Fon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3.670256597223" createdVersion="8" refreshedVersion="8" minRefreshableVersion="3" recordCount="34" xr:uid="{DB88FE05-DCE3-4958-ACD8-05CAB370BCF8}">
  <cacheSource type="worksheet">
    <worksheetSource ref="A1:E35" sheet="Monthly Data"/>
  </cacheSource>
  <cacheFields count="5">
    <cacheField name="cuisine" numFmtId="0">
      <sharedItems count="6">
        <s v="Chinese"/>
        <s v="Desserts"/>
        <s v="Fast Food"/>
        <s v="Italian"/>
        <s v="North Indian"/>
        <s v="South Indian"/>
      </sharedItems>
    </cacheField>
    <cacheField name="month" numFmtId="0">
      <sharedItems/>
    </cacheField>
    <cacheField name="order_count" numFmtId="0">
      <sharedItems containsSemiMixedTypes="0" containsString="0" containsNumber="1" containsInteger="1" minValue="1" maxValue="27"/>
    </cacheField>
    <cacheField name="total_revenue" numFmtId="0">
      <sharedItems containsSemiMixedTypes="0" containsString="0" containsNumber="1" containsInteger="1" minValue="1142" maxValue="41132" count="34">
        <n v="24583"/>
        <n v="20381"/>
        <n v="20273"/>
        <n v="18695"/>
        <n v="14677"/>
        <n v="29231"/>
        <n v="5706"/>
        <n v="3953"/>
        <n v="2809"/>
        <n v="5633"/>
        <n v="1593"/>
        <n v="10499"/>
        <n v="6277"/>
        <n v="10495"/>
        <n v="14644"/>
        <n v="8546"/>
        <n v="4662"/>
        <n v="1716"/>
        <n v="1142"/>
        <n v="4510"/>
        <n v="1455"/>
        <n v="5912"/>
        <n v="37468"/>
        <n v="38819"/>
        <n v="25803"/>
        <n v="39368"/>
        <n v="33707"/>
        <n v="41132"/>
        <n v="3339"/>
        <n v="11754"/>
        <n v="14818"/>
        <n v="10542"/>
        <n v="10130"/>
        <n v="12834"/>
      </sharedItems>
    </cacheField>
    <cacheField name="avg_revenue" numFmtId="0">
      <sharedItems containsSemiMixedTypes="0" containsString="0" containsNumber="1" minValue="902" maxValue="1970.6666666666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s v="2026-01"/>
    <n v="16"/>
    <x v="0"/>
    <n v="1536.4375"/>
  </r>
  <r>
    <x v="0"/>
    <s v="2026-02"/>
    <n v="16"/>
    <x v="1"/>
    <n v="1273.8125"/>
  </r>
  <r>
    <x v="0"/>
    <s v="2026-03"/>
    <n v="16"/>
    <x v="2"/>
    <n v="1267.0625"/>
  </r>
  <r>
    <x v="0"/>
    <s v="2026-04"/>
    <n v="15"/>
    <x v="3"/>
    <n v="1246.3333333333301"/>
  </r>
  <r>
    <x v="0"/>
    <s v="2026-05"/>
    <n v="10"/>
    <x v="4"/>
    <n v="1467.7"/>
  </r>
  <r>
    <x v="0"/>
    <s v="2026-06"/>
    <n v="18"/>
    <x v="5"/>
    <n v="1623.94444444444"/>
  </r>
  <r>
    <x v="1"/>
    <s v="2026-01"/>
    <n v="3"/>
    <x v="6"/>
    <n v="1902"/>
  </r>
  <r>
    <x v="1"/>
    <s v="2026-02"/>
    <n v="3"/>
    <x v="7"/>
    <n v="1317.6666666666699"/>
  </r>
  <r>
    <x v="1"/>
    <s v="2026-03"/>
    <n v="2"/>
    <x v="8"/>
    <n v="1404.5"/>
  </r>
  <r>
    <x v="1"/>
    <s v="2026-05"/>
    <n v="4"/>
    <x v="9"/>
    <n v="1408.25"/>
  </r>
  <r>
    <x v="1"/>
    <s v="2026-06"/>
    <n v="1"/>
    <x v="10"/>
    <n v="1593"/>
  </r>
  <r>
    <x v="2"/>
    <s v="2026-01"/>
    <n v="10"/>
    <x v="11"/>
    <n v="1049.9000000000001"/>
  </r>
  <r>
    <x v="2"/>
    <s v="2026-02"/>
    <n v="5"/>
    <x v="12"/>
    <n v="1255.4000000000001"/>
  </r>
  <r>
    <x v="2"/>
    <s v="2026-03"/>
    <n v="9"/>
    <x v="13"/>
    <n v="1166.1111111111099"/>
  </r>
  <r>
    <x v="2"/>
    <s v="2026-04"/>
    <n v="8"/>
    <x v="14"/>
    <n v="1830.5"/>
  </r>
  <r>
    <x v="2"/>
    <s v="2026-05"/>
    <n v="6"/>
    <x v="15"/>
    <n v="1424.3333333333301"/>
  </r>
  <r>
    <x v="2"/>
    <s v="2026-06"/>
    <n v="4"/>
    <x v="16"/>
    <n v="1165.5"/>
  </r>
  <r>
    <x v="3"/>
    <s v="2026-01"/>
    <n v="1"/>
    <x v="17"/>
    <n v="1716"/>
  </r>
  <r>
    <x v="3"/>
    <s v="2026-02"/>
    <n v="1"/>
    <x v="18"/>
    <n v="1142"/>
  </r>
  <r>
    <x v="3"/>
    <s v="2026-04"/>
    <n v="5"/>
    <x v="19"/>
    <n v="902"/>
  </r>
  <r>
    <x v="3"/>
    <s v="2026-05"/>
    <n v="1"/>
    <x v="20"/>
    <n v="1455"/>
  </r>
  <r>
    <x v="3"/>
    <s v="2026-06"/>
    <n v="3"/>
    <x v="21"/>
    <n v="1970.6666666666699"/>
  </r>
  <r>
    <x v="4"/>
    <s v="2026-01"/>
    <n v="25"/>
    <x v="22"/>
    <n v="1498.72"/>
  </r>
  <r>
    <x v="4"/>
    <s v="2026-02"/>
    <n v="26"/>
    <x v="23"/>
    <n v="1493.0384615384601"/>
  </r>
  <r>
    <x v="4"/>
    <s v="2026-03"/>
    <n v="25"/>
    <x v="24"/>
    <n v="1032.1199999999999"/>
  </r>
  <r>
    <x v="4"/>
    <s v="2026-04"/>
    <n v="27"/>
    <x v="25"/>
    <n v="1458.07407407407"/>
  </r>
  <r>
    <x v="4"/>
    <s v="2026-05"/>
    <n v="24"/>
    <x v="26"/>
    <n v="1404.4583333333301"/>
  </r>
  <r>
    <x v="4"/>
    <s v="2026-06"/>
    <n v="27"/>
    <x v="27"/>
    <n v="1523.4074074074099"/>
  </r>
  <r>
    <x v="5"/>
    <s v="2026-01"/>
    <n v="3"/>
    <x v="28"/>
    <n v="1113"/>
  </r>
  <r>
    <x v="5"/>
    <s v="2026-02"/>
    <n v="9"/>
    <x v="29"/>
    <n v="1306"/>
  </r>
  <r>
    <x v="5"/>
    <s v="2026-03"/>
    <n v="10"/>
    <x v="30"/>
    <n v="1481.8"/>
  </r>
  <r>
    <x v="5"/>
    <s v="2026-04"/>
    <n v="8"/>
    <x v="31"/>
    <n v="1317.75"/>
  </r>
  <r>
    <x v="5"/>
    <s v="2026-05"/>
    <n v="7"/>
    <x v="32"/>
    <n v="1447.1428571428601"/>
  </r>
  <r>
    <x v="5"/>
    <s v="2026-06"/>
    <n v="10"/>
    <x v="33"/>
    <n v="1283.4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2A4B1-9198-4466-ACC6-0BDD40D0B396}" name="PivotTable1" cacheId="2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0" firstDataRow="1" firstDataCol="1"/>
  <pivotFields count="5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dataField="1" compact="0" outline="0" showAll="0"/>
    <pivotField dataField="1" compact="0" outline="0" showAll="0">
      <items count="35">
        <item x="18"/>
        <item x="20"/>
        <item x="10"/>
        <item x="17"/>
        <item x="8"/>
        <item x="28"/>
        <item x="7"/>
        <item x="19"/>
        <item x="16"/>
        <item x="9"/>
        <item x="6"/>
        <item x="21"/>
        <item x="12"/>
        <item x="15"/>
        <item x="32"/>
        <item x="13"/>
        <item x="11"/>
        <item x="31"/>
        <item x="29"/>
        <item x="33"/>
        <item x="14"/>
        <item x="4"/>
        <item x="30"/>
        <item x="3"/>
        <item x="2"/>
        <item x="1"/>
        <item x="0"/>
        <item x="24"/>
        <item x="5"/>
        <item x="26"/>
        <item x="22"/>
        <item x="23"/>
        <item x="25"/>
        <item x="27"/>
        <item t="default"/>
      </items>
    </pivotField>
    <pivotField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order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E68B-A819-4A9D-810A-604F8FBE5675}">
  <dimension ref="A3:C10"/>
  <sheetViews>
    <sheetView workbookViewId="0">
      <selection activeCell="A3" sqref="A3"/>
    </sheetView>
  </sheetViews>
  <sheetFormatPr defaultRowHeight="15"/>
  <cols>
    <col min="1" max="1" width="12.140625" bestFit="1" customWidth="1"/>
    <col min="2" max="2" width="20.7109375" bestFit="1" customWidth="1"/>
    <col min="3" max="3" width="19.140625" bestFit="1" customWidth="1"/>
    <col min="4" max="14" width="5.42578125" bestFit="1" customWidth="1"/>
    <col min="15" max="34" width="6.5703125" bestFit="1" customWidth="1"/>
    <col min="35" max="36" width="11.7109375" bestFit="1" customWidth="1"/>
  </cols>
  <sheetData>
    <row r="3" spans="1:3">
      <c r="A3" s="1" t="s">
        <v>0</v>
      </c>
      <c r="B3" t="s">
        <v>1</v>
      </c>
      <c r="C3" t="s">
        <v>2</v>
      </c>
    </row>
    <row r="4" spans="1:3">
      <c r="A4" t="s">
        <v>3</v>
      </c>
      <c r="B4" s="2">
        <v>127840</v>
      </c>
      <c r="C4" s="2">
        <v>91</v>
      </c>
    </row>
    <row r="5" spans="1:3">
      <c r="A5" t="s">
        <v>4</v>
      </c>
      <c r="B5" s="2">
        <v>19694</v>
      </c>
      <c r="C5" s="2">
        <v>13</v>
      </c>
    </row>
    <row r="6" spans="1:3">
      <c r="A6" t="s">
        <v>5</v>
      </c>
      <c r="B6" s="2">
        <v>55123</v>
      </c>
      <c r="C6" s="2">
        <v>42</v>
      </c>
    </row>
    <row r="7" spans="1:3">
      <c r="A7" t="s">
        <v>6</v>
      </c>
      <c r="B7" s="2">
        <v>14735</v>
      </c>
      <c r="C7" s="2">
        <v>11</v>
      </c>
    </row>
    <row r="8" spans="1:3">
      <c r="A8" t="s">
        <v>7</v>
      </c>
      <c r="B8" s="2">
        <v>216297</v>
      </c>
      <c r="C8" s="2">
        <v>154</v>
      </c>
    </row>
    <row r="9" spans="1:3">
      <c r="A9" t="s">
        <v>8</v>
      </c>
      <c r="B9" s="2">
        <v>63417</v>
      </c>
      <c r="C9" s="2">
        <v>47</v>
      </c>
    </row>
    <row r="10" spans="1:3">
      <c r="A10" t="s">
        <v>9</v>
      </c>
      <c r="B10" s="2">
        <v>497106</v>
      </c>
      <c r="C10" s="2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8F2C-C4C3-45E8-8069-D8C2F251F36B}">
  <dimension ref="A1:G8"/>
  <sheetViews>
    <sheetView topLeftCell="D1" workbookViewId="0">
      <selection activeCell="F2" sqref="F2:F7"/>
    </sheetView>
  </sheetViews>
  <sheetFormatPr defaultRowHeight="15"/>
  <cols>
    <col min="1" max="1" width="9.140625" customWidth="1"/>
    <col min="2" max="2" width="9.85546875" customWidth="1"/>
    <col min="3" max="3" width="9.5703125" customWidth="1"/>
    <col min="4" max="4" width="9.7109375" customWidth="1"/>
    <col min="5" max="5" width="9.85546875" customWidth="1"/>
    <col min="6" max="6" width="19.85546875" customWidth="1"/>
    <col min="7" max="7" width="13.85546875" customWidth="1"/>
  </cols>
  <sheetData>
    <row r="1" spans="1:7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s="3" t="s">
        <v>15</v>
      </c>
    </row>
    <row r="2" spans="1:7">
      <c r="A2" t="s">
        <v>7</v>
      </c>
      <c r="B2">
        <f>VLOOKUP(A2,'pivot table 1'!$A$4:$B$9,2,FALSE)</f>
        <v>216297</v>
      </c>
      <c r="C2">
        <f>VLOOKUP(A2,'Cuisine Targets'!$A$2:$B$7,2,FALSE)</f>
        <v>180000</v>
      </c>
      <c r="D2">
        <f>C2-B2</f>
        <v>-36297</v>
      </c>
      <c r="E2" s="4">
        <f>((B2-C2)/C2)*100</f>
        <v>20.164999999999999</v>
      </c>
      <c r="F2" t="str">
        <f>IF(B2&gt;=C2,"Above Target",IF((B2-C2)/C2&gt;=-15%,"Below Target - Watch","Below Target - Critical"))</f>
        <v>Above Target</v>
      </c>
      <c r="G2" s="3" t="s">
        <v>16</v>
      </c>
    </row>
    <row r="3" spans="1:7">
      <c r="A3" t="s">
        <v>3</v>
      </c>
      <c r="B3">
        <f>VLOOKUP(A3,'pivot table 1'!$A$4:$B$9,2,FALSE)</f>
        <v>127840</v>
      </c>
      <c r="C3">
        <f>VLOOKUP(A3,'Cuisine Targets'!$A$2:$B$7,2,FALSE)</f>
        <v>140000</v>
      </c>
      <c r="D3">
        <f>C3-B3</f>
        <v>12160</v>
      </c>
      <c r="E3" s="4">
        <f t="shared" ref="E3:E7" si="0">((B3-C3)/C3)*100</f>
        <v>-8.6857142857142851</v>
      </c>
      <c r="F3" t="str">
        <f t="shared" ref="F3:F7" si="1">IF(B3&gt;=C3,"Above Target",IF((B3-C3)/C3&gt;=-15%,"Below Target - Watch","Below Target - Critical"))</f>
        <v>Below Target - Watch</v>
      </c>
      <c r="G3" s="3" t="s">
        <v>16</v>
      </c>
    </row>
    <row r="4" spans="1:7">
      <c r="A4" t="s">
        <v>8</v>
      </c>
      <c r="B4">
        <f>VLOOKUP(A4,'pivot table 1'!$A$4:$B$9,2,FALSE)</f>
        <v>63417</v>
      </c>
      <c r="C4">
        <f>VLOOKUP(A4,'Cuisine Targets'!$A$2:$B$7,2,FALSE)</f>
        <v>50000</v>
      </c>
      <c r="D4">
        <f>C4-B4</f>
        <v>-13417</v>
      </c>
      <c r="E4" s="4">
        <f t="shared" si="0"/>
        <v>26.834000000000003</v>
      </c>
      <c r="F4" t="str">
        <f t="shared" si="1"/>
        <v>Above Target</v>
      </c>
      <c r="G4" s="3" t="s">
        <v>16</v>
      </c>
    </row>
    <row r="5" spans="1:7">
      <c r="A5" t="s">
        <v>5</v>
      </c>
      <c r="B5">
        <f>VLOOKUP(A5,'pivot table 1'!$A$4:$B$9,2,FALSE)</f>
        <v>55123</v>
      </c>
      <c r="C5">
        <f>VLOOKUP(A5,'Cuisine Targets'!$A$2:$B$7,2,FALSE)</f>
        <v>60000</v>
      </c>
      <c r="D5">
        <f>C5-B5</f>
        <v>4877</v>
      </c>
      <c r="E5" s="4">
        <f t="shared" si="0"/>
        <v>-8.1283333333333339</v>
      </c>
      <c r="F5" t="str">
        <f t="shared" si="1"/>
        <v>Below Target - Watch</v>
      </c>
      <c r="G5" s="3" t="s">
        <v>16</v>
      </c>
    </row>
    <row r="6" spans="1:7">
      <c r="A6" t="s">
        <v>4</v>
      </c>
      <c r="B6">
        <f>VLOOKUP(A6,'pivot table 1'!$A$4:$B$9,2,FALSE)</f>
        <v>19694</v>
      </c>
      <c r="C6">
        <f>VLOOKUP(A6,'Cuisine Targets'!$A$2:$B$7,2,FALSE)</f>
        <v>25000</v>
      </c>
      <c r="D6">
        <f>C6-B6</f>
        <v>5306</v>
      </c>
      <c r="E6" s="4">
        <f t="shared" si="0"/>
        <v>-21.224</v>
      </c>
      <c r="F6" t="str">
        <f t="shared" si="1"/>
        <v>Below Target - Critical</v>
      </c>
      <c r="G6" s="3" t="s">
        <v>16</v>
      </c>
    </row>
    <row r="7" spans="1:7">
      <c r="A7" t="s">
        <v>6</v>
      </c>
      <c r="B7">
        <f>VLOOKUP(A7,'pivot table 1'!$A$4:$B$9,2,FALSE)</f>
        <v>14735</v>
      </c>
      <c r="C7">
        <f>VLOOKUP(A7,'Cuisine Targets'!$A$2:$B$7,2,FALSE)</f>
        <v>10000</v>
      </c>
      <c r="D7">
        <f>C7-B7</f>
        <v>-4735</v>
      </c>
      <c r="E7" s="4">
        <f t="shared" si="0"/>
        <v>47.349999999999994</v>
      </c>
      <c r="F7" t="str">
        <f t="shared" si="1"/>
        <v>Above Target</v>
      </c>
      <c r="G7" s="3" t="s">
        <v>16</v>
      </c>
    </row>
    <row r="8" spans="1:7">
      <c r="G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9163-D0EF-4678-BDE2-56A8624211F5}">
  <dimension ref="A1:E35"/>
  <sheetViews>
    <sheetView workbookViewId="0">
      <selection sqref="A1:E35"/>
    </sheetView>
  </sheetViews>
  <sheetFormatPr defaultRowHeight="15"/>
  <sheetData>
    <row r="1" spans="1:5">
      <c r="A1" t="s">
        <v>0</v>
      </c>
      <c r="B1" t="s">
        <v>17</v>
      </c>
      <c r="C1" t="s">
        <v>18</v>
      </c>
      <c r="D1" t="s">
        <v>10</v>
      </c>
      <c r="E1" t="s">
        <v>19</v>
      </c>
    </row>
    <row r="2" spans="1:5">
      <c r="A2" t="s">
        <v>3</v>
      </c>
      <c r="B2" t="s">
        <v>20</v>
      </c>
      <c r="C2">
        <v>16</v>
      </c>
      <c r="D2">
        <v>24583</v>
      </c>
      <c r="E2">
        <v>1536.4375</v>
      </c>
    </row>
    <row r="3" spans="1:5">
      <c r="A3" t="s">
        <v>3</v>
      </c>
      <c r="B3" t="s">
        <v>21</v>
      </c>
      <c r="C3">
        <v>16</v>
      </c>
      <c r="D3">
        <v>20381</v>
      </c>
      <c r="E3">
        <v>1273.8125</v>
      </c>
    </row>
    <row r="4" spans="1:5">
      <c r="A4" t="s">
        <v>3</v>
      </c>
      <c r="B4" t="s">
        <v>22</v>
      </c>
      <c r="C4">
        <v>16</v>
      </c>
      <c r="D4">
        <v>20273</v>
      </c>
      <c r="E4">
        <v>1267.0625</v>
      </c>
    </row>
    <row r="5" spans="1:5">
      <c r="A5" t="s">
        <v>3</v>
      </c>
      <c r="B5" t="s">
        <v>23</v>
      </c>
      <c r="C5">
        <v>15</v>
      </c>
      <c r="D5">
        <v>18695</v>
      </c>
      <c r="E5">
        <v>1246.3333333333301</v>
      </c>
    </row>
    <row r="6" spans="1:5">
      <c r="A6" t="s">
        <v>3</v>
      </c>
      <c r="B6" t="s">
        <v>24</v>
      </c>
      <c r="C6">
        <v>10</v>
      </c>
      <c r="D6">
        <v>14677</v>
      </c>
      <c r="E6">
        <v>1467.7</v>
      </c>
    </row>
    <row r="7" spans="1:5">
      <c r="A7" t="s">
        <v>3</v>
      </c>
      <c r="B7" t="s">
        <v>25</v>
      </c>
      <c r="C7">
        <v>18</v>
      </c>
      <c r="D7">
        <v>29231</v>
      </c>
      <c r="E7">
        <v>1623.94444444444</v>
      </c>
    </row>
    <row r="8" spans="1:5">
      <c r="A8" t="s">
        <v>4</v>
      </c>
      <c r="B8" t="s">
        <v>20</v>
      </c>
      <c r="C8">
        <v>3</v>
      </c>
      <c r="D8">
        <v>5706</v>
      </c>
      <c r="E8">
        <v>1902</v>
      </c>
    </row>
    <row r="9" spans="1:5">
      <c r="A9" t="s">
        <v>4</v>
      </c>
      <c r="B9" t="s">
        <v>21</v>
      </c>
      <c r="C9">
        <v>3</v>
      </c>
      <c r="D9">
        <v>3953</v>
      </c>
      <c r="E9">
        <v>1317.6666666666699</v>
      </c>
    </row>
    <row r="10" spans="1:5">
      <c r="A10" t="s">
        <v>4</v>
      </c>
      <c r="B10" t="s">
        <v>22</v>
      </c>
      <c r="C10">
        <v>2</v>
      </c>
      <c r="D10">
        <v>2809</v>
      </c>
      <c r="E10">
        <v>1404.5</v>
      </c>
    </row>
    <row r="11" spans="1:5">
      <c r="A11" t="s">
        <v>4</v>
      </c>
      <c r="B11" t="s">
        <v>24</v>
      </c>
      <c r="C11">
        <v>4</v>
      </c>
      <c r="D11">
        <v>5633</v>
      </c>
      <c r="E11">
        <v>1408.25</v>
      </c>
    </row>
    <row r="12" spans="1:5">
      <c r="A12" t="s">
        <v>4</v>
      </c>
      <c r="B12" t="s">
        <v>25</v>
      </c>
      <c r="C12">
        <v>1</v>
      </c>
      <c r="D12">
        <v>1593</v>
      </c>
      <c r="E12">
        <v>1593</v>
      </c>
    </row>
    <row r="13" spans="1:5">
      <c r="A13" t="s">
        <v>5</v>
      </c>
      <c r="B13" t="s">
        <v>20</v>
      </c>
      <c r="C13">
        <v>10</v>
      </c>
      <c r="D13">
        <v>10499</v>
      </c>
      <c r="E13">
        <v>1049.9000000000001</v>
      </c>
    </row>
    <row r="14" spans="1:5">
      <c r="A14" t="s">
        <v>5</v>
      </c>
      <c r="B14" t="s">
        <v>21</v>
      </c>
      <c r="C14">
        <v>5</v>
      </c>
      <c r="D14">
        <v>6277</v>
      </c>
      <c r="E14">
        <v>1255.4000000000001</v>
      </c>
    </row>
    <row r="15" spans="1:5">
      <c r="A15" t="s">
        <v>5</v>
      </c>
      <c r="B15" t="s">
        <v>22</v>
      </c>
      <c r="C15">
        <v>9</v>
      </c>
      <c r="D15">
        <v>10495</v>
      </c>
      <c r="E15">
        <v>1166.1111111111099</v>
      </c>
    </row>
    <row r="16" spans="1:5">
      <c r="A16" t="s">
        <v>5</v>
      </c>
      <c r="B16" t="s">
        <v>23</v>
      </c>
      <c r="C16">
        <v>8</v>
      </c>
      <c r="D16">
        <v>14644</v>
      </c>
      <c r="E16">
        <v>1830.5</v>
      </c>
    </row>
    <row r="17" spans="1:5">
      <c r="A17" t="s">
        <v>5</v>
      </c>
      <c r="B17" t="s">
        <v>24</v>
      </c>
      <c r="C17">
        <v>6</v>
      </c>
      <c r="D17">
        <v>8546</v>
      </c>
      <c r="E17">
        <v>1424.3333333333301</v>
      </c>
    </row>
    <row r="18" spans="1:5">
      <c r="A18" t="s">
        <v>5</v>
      </c>
      <c r="B18" t="s">
        <v>25</v>
      </c>
      <c r="C18">
        <v>4</v>
      </c>
      <c r="D18">
        <v>4662</v>
      </c>
      <c r="E18">
        <v>1165.5</v>
      </c>
    </row>
    <row r="19" spans="1:5">
      <c r="A19" t="s">
        <v>6</v>
      </c>
      <c r="B19" t="s">
        <v>20</v>
      </c>
      <c r="C19">
        <v>1</v>
      </c>
      <c r="D19">
        <v>1716</v>
      </c>
      <c r="E19">
        <v>1716</v>
      </c>
    </row>
    <row r="20" spans="1:5">
      <c r="A20" t="s">
        <v>6</v>
      </c>
      <c r="B20" t="s">
        <v>21</v>
      </c>
      <c r="C20">
        <v>1</v>
      </c>
      <c r="D20">
        <v>1142</v>
      </c>
      <c r="E20">
        <v>1142</v>
      </c>
    </row>
    <row r="21" spans="1:5">
      <c r="A21" t="s">
        <v>6</v>
      </c>
      <c r="B21" t="s">
        <v>23</v>
      </c>
      <c r="C21">
        <v>5</v>
      </c>
      <c r="D21">
        <v>4510</v>
      </c>
      <c r="E21">
        <v>902</v>
      </c>
    </row>
    <row r="22" spans="1:5">
      <c r="A22" t="s">
        <v>6</v>
      </c>
      <c r="B22" t="s">
        <v>24</v>
      </c>
      <c r="C22">
        <v>1</v>
      </c>
      <c r="D22">
        <v>1455</v>
      </c>
      <c r="E22">
        <v>1455</v>
      </c>
    </row>
    <row r="23" spans="1:5">
      <c r="A23" t="s">
        <v>6</v>
      </c>
      <c r="B23" t="s">
        <v>25</v>
      </c>
      <c r="C23">
        <v>3</v>
      </c>
      <c r="D23">
        <v>5912</v>
      </c>
      <c r="E23">
        <v>1970.6666666666699</v>
      </c>
    </row>
    <row r="24" spans="1:5">
      <c r="A24" t="s">
        <v>7</v>
      </c>
      <c r="B24" t="s">
        <v>20</v>
      </c>
      <c r="C24">
        <v>25</v>
      </c>
      <c r="D24">
        <v>37468</v>
      </c>
      <c r="E24">
        <v>1498.72</v>
      </c>
    </row>
    <row r="25" spans="1:5">
      <c r="A25" t="s">
        <v>7</v>
      </c>
      <c r="B25" t="s">
        <v>21</v>
      </c>
      <c r="C25">
        <v>26</v>
      </c>
      <c r="D25">
        <v>38819</v>
      </c>
      <c r="E25">
        <v>1493.0384615384601</v>
      </c>
    </row>
    <row r="26" spans="1:5">
      <c r="A26" t="s">
        <v>7</v>
      </c>
      <c r="B26" t="s">
        <v>22</v>
      </c>
      <c r="C26">
        <v>25</v>
      </c>
      <c r="D26">
        <v>25803</v>
      </c>
      <c r="E26">
        <v>1032.1199999999999</v>
      </c>
    </row>
    <row r="27" spans="1:5">
      <c r="A27" t="s">
        <v>7</v>
      </c>
      <c r="B27" t="s">
        <v>23</v>
      </c>
      <c r="C27">
        <v>27</v>
      </c>
      <c r="D27">
        <v>39368</v>
      </c>
      <c r="E27">
        <v>1458.07407407407</v>
      </c>
    </row>
    <row r="28" spans="1:5">
      <c r="A28" t="s">
        <v>7</v>
      </c>
      <c r="B28" t="s">
        <v>24</v>
      </c>
      <c r="C28">
        <v>24</v>
      </c>
      <c r="D28">
        <v>33707</v>
      </c>
      <c r="E28">
        <v>1404.4583333333301</v>
      </c>
    </row>
    <row r="29" spans="1:5">
      <c r="A29" t="s">
        <v>7</v>
      </c>
      <c r="B29" t="s">
        <v>25</v>
      </c>
      <c r="C29">
        <v>27</v>
      </c>
      <c r="D29">
        <v>41132</v>
      </c>
      <c r="E29">
        <v>1523.4074074074099</v>
      </c>
    </row>
    <row r="30" spans="1:5">
      <c r="A30" t="s">
        <v>8</v>
      </c>
      <c r="B30" t="s">
        <v>20</v>
      </c>
      <c r="C30">
        <v>3</v>
      </c>
      <c r="D30">
        <v>3339</v>
      </c>
      <c r="E30">
        <v>1113</v>
      </c>
    </row>
    <row r="31" spans="1:5">
      <c r="A31" t="s">
        <v>8</v>
      </c>
      <c r="B31" t="s">
        <v>21</v>
      </c>
      <c r="C31">
        <v>9</v>
      </c>
      <c r="D31">
        <v>11754</v>
      </c>
      <c r="E31">
        <v>1306</v>
      </c>
    </row>
    <row r="32" spans="1:5">
      <c r="A32" t="s">
        <v>8</v>
      </c>
      <c r="B32" t="s">
        <v>22</v>
      </c>
      <c r="C32">
        <v>10</v>
      </c>
      <c r="D32">
        <v>14818</v>
      </c>
      <c r="E32">
        <v>1481.8</v>
      </c>
    </row>
    <row r="33" spans="1:5">
      <c r="A33" t="s">
        <v>8</v>
      </c>
      <c r="B33" t="s">
        <v>23</v>
      </c>
      <c r="C33">
        <v>8</v>
      </c>
      <c r="D33">
        <v>10542</v>
      </c>
      <c r="E33">
        <v>1317.75</v>
      </c>
    </row>
    <row r="34" spans="1:5">
      <c r="A34" t="s">
        <v>8</v>
      </c>
      <c r="B34" t="s">
        <v>24</v>
      </c>
      <c r="C34">
        <v>7</v>
      </c>
      <c r="D34">
        <v>10130</v>
      </c>
      <c r="E34">
        <v>1447.1428571428601</v>
      </c>
    </row>
    <row r="35" spans="1:5">
      <c r="A35" t="s">
        <v>8</v>
      </c>
      <c r="B35" t="s">
        <v>25</v>
      </c>
      <c r="C35">
        <v>10</v>
      </c>
      <c r="D35">
        <v>12834</v>
      </c>
      <c r="E35">
        <v>1283.4000000000001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6A1B-54A1-4171-BB94-60C2297DF7FC}">
  <dimension ref="A1:B7"/>
  <sheetViews>
    <sheetView tabSelected="1" workbookViewId="0">
      <selection activeCell="B8" sqref="B8"/>
    </sheetView>
  </sheetViews>
  <sheetFormatPr defaultRowHeight="15"/>
  <sheetData>
    <row r="1" spans="1:2">
      <c r="A1" t="s">
        <v>0</v>
      </c>
      <c r="B1" t="s">
        <v>26</v>
      </c>
    </row>
    <row r="2" spans="1:2">
      <c r="A2" t="s">
        <v>7</v>
      </c>
      <c r="B2">
        <v>180000</v>
      </c>
    </row>
    <row r="3" spans="1:2">
      <c r="A3" t="s">
        <v>3</v>
      </c>
      <c r="B3">
        <v>140000</v>
      </c>
    </row>
    <row r="4" spans="1:2">
      <c r="A4" t="s">
        <v>8</v>
      </c>
      <c r="B4">
        <v>50000</v>
      </c>
    </row>
    <row r="5" spans="1:2">
      <c r="A5" t="s">
        <v>5</v>
      </c>
      <c r="B5">
        <v>60000</v>
      </c>
    </row>
    <row r="6" spans="1:2">
      <c r="A6" t="s">
        <v>4</v>
      </c>
      <c r="B6">
        <v>25000</v>
      </c>
    </row>
    <row r="7" spans="1:2">
      <c r="A7" t="s">
        <v>6</v>
      </c>
      <c r="B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2026-08-09T10:03:08Z</dcterms:created>
  <dcterms:modified xsi:type="dcterms:W3CDTF">2026-08-11T05:13:40Z</dcterms:modified>
  <cp:category/>
  <cp:contentStatus/>
</cp:coreProperties>
</file>